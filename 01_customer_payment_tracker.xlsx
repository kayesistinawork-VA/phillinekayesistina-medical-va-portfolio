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 Tracker'!$A$4:$H$14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₱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78696C"/>
      <sz val="10"/>
    </font>
    <font>
      <b val="1"/>
      <color rgb="00FFFFFF"/>
    </font>
    <font>
      <b val="1"/>
      <color rgb="00FFFFFF"/>
      <sz val="18"/>
    </font>
    <font>
      <i val="1"/>
      <color rgb="0078696C"/>
    </font>
    <font>
      <b val="1"/>
      <color rgb="00784752"/>
      <sz val="12"/>
    </font>
  </fonts>
  <fills count="5">
    <fill>
      <patternFill/>
    </fill>
    <fill>
      <patternFill patternType="gray125"/>
    </fill>
    <fill>
      <patternFill patternType="solid">
        <fgColor rgb="00784752"/>
      </patternFill>
    </fill>
    <fill>
      <patternFill patternType="solid">
        <fgColor rgb="00FBF7F3"/>
      </patternFill>
    </fill>
    <fill>
      <patternFill patternType="solid">
        <fgColor rgb="00F5E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0" fontId="4" fillId="2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vertical="center" wrapText="1"/>
    </xf>
    <xf numFmtId="165" fontId="0" fillId="4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ymentRecords" displayName="PaymentRecords" ref="A4:H14" headerRowCount="1">
  <autoFilter ref="A4:H14"/>
  <tableColumns count="8">
    <tableColumn id="1" name="Record ID"/>
    <tableColumn id="2" name="Date"/>
    <tableColumn id="3" name="Customer"/>
    <tableColumn id="4" name="Invoice No."/>
    <tableColumn id="5" name="Invoice Amount (PHP)"/>
    <tableColumn id="6" name="Amount Paid (PHP)"/>
    <tableColumn id="7" name="Balance (PHP)"/>
    <tableColumn id="8" name="Payment Statu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16" customWidth="1" min="4" max="4"/>
    <col width="21" customWidth="1" min="5" max="5"/>
    <col width="20" customWidth="1" min="6" max="6"/>
    <col width="18" customWidth="1" min="7" max="7"/>
    <col width="17" customWidth="1" min="8" max="8"/>
  </cols>
  <sheetData>
    <row r="1" ht="34" customHeight="1">
      <c r="A1" s="1" t="inlineStr">
        <is>
          <t>CUSTOMER PAYMENT TRACKER</t>
        </is>
      </c>
    </row>
    <row r="2" ht="22" customHeight="1">
      <c r="A2" s="2" t="inlineStr">
        <is>
          <t>Practice portfolio sample • All names and transactions are fictional</t>
        </is>
      </c>
    </row>
    <row r="4" ht="34" customHeight="1">
      <c r="A4" s="3" t="inlineStr">
        <is>
          <t>Record ID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Invoice No.</t>
        </is>
      </c>
      <c r="E4" s="3" t="inlineStr">
        <is>
          <t>Invoice Amount (PHP)</t>
        </is>
      </c>
      <c r="F4" s="3" t="inlineStr">
        <is>
          <t>Amount Paid (PHP)</t>
        </is>
      </c>
      <c r="G4" s="3" t="inlineStr">
        <is>
          <t>Balance (PHP)</t>
        </is>
      </c>
      <c r="H4" s="3" t="inlineStr">
        <is>
          <t>Payment Status</t>
        </is>
      </c>
    </row>
    <row r="5" ht="23" customHeight="1">
      <c r="A5" s="4" t="inlineStr">
        <is>
          <t>PT-1001</t>
        </is>
      </c>
      <c r="B5" s="5" t="inlineStr">
        <is>
          <t>2026-09-02</t>
        </is>
      </c>
      <c r="C5" s="4" t="inlineStr">
        <is>
          <t>Mabini Supplies</t>
        </is>
      </c>
      <c r="D5" s="4" t="inlineStr">
        <is>
          <t>INV-26091</t>
        </is>
      </c>
      <c r="E5" s="6" t="n">
        <v>12500</v>
      </c>
      <c r="F5" s="6" t="n">
        <v>12500</v>
      </c>
      <c r="G5" s="6">
        <f>E5-F5</f>
        <v/>
      </c>
      <c r="H5" s="4">
        <f>IF(G5=0,"Paid",IF(F5=0,"Unpaid","Partial"))</f>
        <v/>
      </c>
    </row>
    <row r="6" ht="23" customHeight="1">
      <c r="A6" s="7" t="inlineStr">
        <is>
          <t>PT-1002</t>
        </is>
      </c>
      <c r="B6" s="8" t="inlineStr">
        <is>
          <t>2026-09-04</t>
        </is>
      </c>
      <c r="C6" s="7" t="inlineStr">
        <is>
          <t>Northstar Cafe</t>
        </is>
      </c>
      <c r="D6" s="7" t="inlineStr">
        <is>
          <t>INV-26092</t>
        </is>
      </c>
      <c r="E6" s="9" t="n">
        <v>8400</v>
      </c>
      <c r="F6" s="9" t="n">
        <v>5000</v>
      </c>
      <c r="G6" s="9">
        <f>E6-F6</f>
        <v/>
      </c>
      <c r="H6" s="7">
        <f>IF(G6=0,"Paid",IF(F6=0,"Unpaid","Partial"))</f>
        <v/>
      </c>
    </row>
    <row r="7" ht="23" customHeight="1">
      <c r="A7" s="4" t="inlineStr">
        <is>
          <t>PT-1003</t>
        </is>
      </c>
      <c r="B7" s="5" t="inlineStr">
        <is>
          <t>2026-09-05</t>
        </is>
      </c>
      <c r="C7" s="4" t="inlineStr">
        <is>
          <t>Luna Office Hub</t>
        </is>
      </c>
      <c r="D7" s="4" t="inlineStr">
        <is>
          <t>INV-26093</t>
        </is>
      </c>
      <c r="E7" s="6" t="n">
        <v>15750</v>
      </c>
      <c r="F7" s="6" t="n">
        <v>15750</v>
      </c>
      <c r="G7" s="6">
        <f>E7-F7</f>
        <v/>
      </c>
      <c r="H7" s="4">
        <f>IF(G7=0,"Paid",IF(F7=0,"Unpaid","Partial"))</f>
        <v/>
      </c>
    </row>
    <row r="8" ht="23" customHeight="1">
      <c r="A8" s="7" t="inlineStr">
        <is>
          <t>PT-1004</t>
        </is>
      </c>
      <c r="B8" s="8" t="inlineStr">
        <is>
          <t>2026-09-08</t>
        </is>
      </c>
      <c r="C8" s="7" t="inlineStr">
        <is>
          <t>Greenfield Trading</t>
        </is>
      </c>
      <c r="D8" s="7" t="inlineStr">
        <is>
          <t>INV-26094</t>
        </is>
      </c>
      <c r="E8" s="9" t="n">
        <v>9200</v>
      </c>
      <c r="F8" s="9" t="n">
        <v>0</v>
      </c>
      <c r="G8" s="9">
        <f>E8-F8</f>
        <v/>
      </c>
      <c r="H8" s="7">
        <f>IF(G8=0,"Paid",IF(F8=0,"Unpaid","Partial"))</f>
        <v/>
      </c>
    </row>
    <row r="9" ht="23" customHeight="1">
      <c r="A9" s="4" t="inlineStr">
        <is>
          <t>PT-1005</t>
        </is>
      </c>
      <c r="B9" s="5" t="inlineStr">
        <is>
          <t>2026-09-11</t>
        </is>
      </c>
      <c r="C9" s="4" t="inlineStr">
        <is>
          <t>Mabini Supplies</t>
        </is>
      </c>
      <c r="D9" s="4" t="inlineStr">
        <is>
          <t>INV-26095</t>
        </is>
      </c>
      <c r="E9" s="6" t="n">
        <v>6400</v>
      </c>
      <c r="F9" s="6" t="n">
        <v>3000</v>
      </c>
      <c r="G9" s="6">
        <f>E9-F9</f>
        <v/>
      </c>
      <c r="H9" s="4">
        <f>IF(G9=0,"Paid",IF(F9=0,"Unpaid","Partial"))</f>
        <v/>
      </c>
    </row>
    <row r="10" ht="23" customHeight="1">
      <c r="A10" s="7" t="inlineStr">
        <is>
          <t>PT-1006</t>
        </is>
      </c>
      <c r="B10" s="8" t="inlineStr">
        <is>
          <t>2026-09-14</t>
        </is>
      </c>
      <c r="C10" s="7" t="inlineStr">
        <is>
          <t>Harborview Services</t>
        </is>
      </c>
      <c r="D10" s="7" t="inlineStr">
        <is>
          <t>INV-26096</t>
        </is>
      </c>
      <c r="E10" s="9" t="n">
        <v>18800</v>
      </c>
      <c r="F10" s="9" t="n">
        <v>18800</v>
      </c>
      <c r="G10" s="9">
        <f>E10-F10</f>
        <v/>
      </c>
      <c r="H10" s="7">
        <f>IF(G10=0,"Paid",IF(F10=0,"Unpaid","Partial"))</f>
        <v/>
      </c>
    </row>
    <row r="11" ht="23" customHeight="1">
      <c r="A11" s="4" t="inlineStr">
        <is>
          <t>PT-1007</t>
        </is>
      </c>
      <c r="B11" s="5" t="inlineStr">
        <is>
          <t>2026-09-18</t>
        </is>
      </c>
      <c r="C11" s="4" t="inlineStr">
        <is>
          <t>Northstar Cafe</t>
        </is>
      </c>
      <c r="D11" s="4" t="inlineStr">
        <is>
          <t>INV-26097</t>
        </is>
      </c>
      <c r="E11" s="6" t="n">
        <v>7300</v>
      </c>
      <c r="F11" s="6" t="n">
        <v>7300</v>
      </c>
      <c r="G11" s="6">
        <f>E11-F11</f>
        <v/>
      </c>
      <c r="H11" s="4">
        <f>IF(G11=0,"Paid",IF(F11=0,"Unpaid","Partial"))</f>
        <v/>
      </c>
    </row>
    <row r="12" ht="23" customHeight="1">
      <c r="A12" s="7" t="inlineStr">
        <is>
          <t>PT-1008</t>
        </is>
      </c>
      <c r="B12" s="8" t="inlineStr">
        <is>
          <t>2026-09-21</t>
        </is>
      </c>
      <c r="C12" s="7" t="inlineStr">
        <is>
          <t>Luna Office Hub</t>
        </is>
      </c>
      <c r="D12" s="7" t="inlineStr">
        <is>
          <t>INV-26098</t>
        </is>
      </c>
      <c r="E12" s="9" t="n">
        <v>11200</v>
      </c>
      <c r="F12" s="9" t="n">
        <v>6000</v>
      </c>
      <c r="G12" s="9">
        <f>E12-F12</f>
        <v/>
      </c>
      <c r="H12" s="7">
        <f>IF(G12=0,"Paid",IF(F12=0,"Unpaid","Partial"))</f>
        <v/>
      </c>
    </row>
    <row r="13" ht="23" customHeight="1">
      <c r="A13" s="4" t="inlineStr">
        <is>
          <t>PT-1009</t>
        </is>
      </c>
      <c r="B13" s="5" t="inlineStr">
        <is>
          <t>2026-09-24</t>
        </is>
      </c>
      <c r="C13" s="4" t="inlineStr">
        <is>
          <t>Greenfield Trading</t>
        </is>
      </c>
      <c r="D13" s="4" t="inlineStr">
        <is>
          <t>INV-26099</t>
        </is>
      </c>
      <c r="E13" s="6" t="n">
        <v>5600</v>
      </c>
      <c r="F13" s="6" t="n">
        <v>5600</v>
      </c>
      <c r="G13" s="6">
        <f>E13-F13</f>
        <v/>
      </c>
      <c r="H13" s="4">
        <f>IF(G13=0,"Paid",IF(F13=0,"Unpaid","Partial"))</f>
        <v/>
      </c>
    </row>
    <row r="14" ht="23" customHeight="1">
      <c r="A14" s="7" t="inlineStr">
        <is>
          <t>PT-1010</t>
        </is>
      </c>
      <c r="B14" s="8" t="inlineStr">
        <is>
          <t>2026-09-28</t>
        </is>
      </c>
      <c r="C14" s="7" t="inlineStr">
        <is>
          <t>Harborview Services</t>
        </is>
      </c>
      <c r="D14" s="7" t="inlineStr">
        <is>
          <t>INV-26100</t>
        </is>
      </c>
      <c r="E14" s="9" t="n">
        <v>14300</v>
      </c>
      <c r="F14" s="9" t="n">
        <v>0</v>
      </c>
      <c r="G14" s="9">
        <f>E14-F14</f>
        <v/>
      </c>
      <c r="H14" s="7">
        <f>IF(G14=0,"Paid",IF(F14=0,"Unpaid","Partial"))</f>
        <v/>
      </c>
    </row>
  </sheetData>
  <autoFilter ref="A4:H14"/>
  <mergeCells count="2">
    <mergeCell ref="A2:H2"/>
    <mergeCell ref="A1:H1"/>
  </mergeCells>
  <conditionalFormatting sqref="H5:H14">
    <cfRule type="cellIs" priority="1" operator="equal" dxfId="0">
      <formula>"Paid"</formula>
    </cfRule>
    <cfRule type="cellIs" priority="2" operator="equal" dxfId="1">
      <formula>"Unpaid"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38" customWidth="1" min="3" max="3"/>
    <col width="4" customWidth="1" min="4" max="4"/>
  </cols>
  <sheetData>
    <row r="1" ht="34" customHeight="1">
      <c r="A1" s="10" t="inlineStr">
        <is>
          <t>MONTHLY PAYMENT SUMMARY</t>
        </is>
      </c>
    </row>
    <row r="2">
      <c r="A2" s="11" t="inlineStr">
        <is>
          <t>September 2026 • Fictional data for demonstration</t>
        </is>
      </c>
    </row>
    <row r="4" ht="30" customHeight="1">
      <c r="A4" s="3" t="inlineStr">
        <is>
          <t>Metric</t>
        </is>
      </c>
      <c r="B4" s="3" t="inlineStr">
        <is>
          <t>Result</t>
        </is>
      </c>
      <c r="C4" s="3" t="inlineStr">
        <is>
          <t>How it is calculated</t>
        </is>
      </c>
    </row>
    <row r="5" ht="30" customHeight="1">
      <c r="A5" s="12" t="inlineStr">
        <is>
          <t>Total Invoiced</t>
        </is>
      </c>
      <c r="B5" s="13">
        <f>SUM('Data Tracker'!E5:E14)</f>
        <v/>
      </c>
      <c r="C5" s="12" t="inlineStr">
        <is>
          <t>Sum of invoice amounts</t>
        </is>
      </c>
    </row>
    <row r="6" ht="30" customHeight="1">
      <c r="A6" s="14" t="inlineStr">
        <is>
          <t>Total Collected</t>
        </is>
      </c>
      <c r="B6" s="15">
        <f>SUM('Data Tracker'!F5:F14)</f>
        <v/>
      </c>
      <c r="C6" s="14" t="inlineStr">
        <is>
          <t>Sum of recorded payments</t>
        </is>
      </c>
    </row>
    <row r="7" ht="30" customHeight="1">
      <c r="A7" s="12" t="inlineStr">
        <is>
          <t>Outstanding Balance</t>
        </is>
      </c>
      <c r="B7" s="13">
        <f>SUM('Data Tracker'!G5:G14)</f>
        <v/>
      </c>
      <c r="C7" s="12" t="inlineStr">
        <is>
          <t>Total invoiced less payments</t>
        </is>
      </c>
    </row>
    <row r="8" ht="30" customHeight="1">
      <c r="A8" s="14" t="inlineStr">
        <is>
          <t>Paid Invoices</t>
        </is>
      </c>
      <c r="B8" s="14">
        <f>COUNTIF('Data Tracker'!H5:H14,"Paid")</f>
        <v/>
      </c>
      <c r="C8" s="14" t="inlineStr">
        <is>
          <t>Records with zero balance</t>
        </is>
      </c>
    </row>
    <row r="9" ht="30" customHeight="1">
      <c r="A9" s="12" t="inlineStr">
        <is>
          <t>Partial / Unpaid</t>
        </is>
      </c>
      <c r="B9" s="12">
        <f>COUNTIF('Data Tracker'!H5:H14,"Partial")+COUNTIF('Data Tracker'!H5:H14,"Unpaid")</f>
        <v/>
      </c>
      <c r="C9" s="12" t="inlineStr">
        <is>
          <t>Records requiring follow-up</t>
        </is>
      </c>
    </row>
    <row r="12">
      <c r="A12" s="16" t="inlineStr">
        <is>
          <t>Review notes</t>
        </is>
      </c>
    </row>
    <row r="13">
      <c r="A13" t="inlineStr">
        <is>
          <t>• Filter the Data Tracker by Payment Status to identify follow-up items.</t>
        </is>
      </c>
    </row>
    <row r="14">
      <c r="A14" t="inlineStr">
        <is>
          <t>• Check invoice amounts and payments before sending a report.</t>
        </is>
      </c>
    </row>
    <row r="15">
      <c r="A15" t="inlineStr">
        <is>
          <t>• This workbook is a demonstration template, not a real customer ledger.</t>
        </is>
      </c>
    </row>
  </sheetData>
  <mergeCells count="5">
    <mergeCell ref="A1:D1"/>
    <mergeCell ref="A13:C13"/>
    <mergeCell ref="A14:C14"/>
    <mergeCell ref="A2:D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2026-10-11T02:57:27Z</dcterms:created>
  <dcterms:modified xmlns:dcterms="http://purl.org/dc/terms/" xmlns:xsi="http://www.w3.org/2001/XMLSchema-instance" xsi:type="dcterms:W3CDTF">2026-10-11T02:57:27Z</dcterms:modified>
</cp:coreProperties>
</file>